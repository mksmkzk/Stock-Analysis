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82f67f12adaf84c/Documents/GitHub/Stock-Analysis/"/>
    </mc:Choice>
  </mc:AlternateContent>
  <xr:revisionPtr revIDLastSave="2128" documentId="14_{8CF8D78C-680C-4AFD-8E74-DC9E3FAF8EEB}" xr6:coauthVersionLast="47" xr6:coauthVersionMax="47" xr10:uidLastSave="{391A41B6-202F-4F08-95E5-62AE2D257E92}"/>
  <bookViews>
    <workbookView xWindow="16410" yWindow="1860" windowWidth="15980" windowHeight="1165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2 Year Differenc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5" l="1"/>
  <c r="F21" i="5"/>
  <c r="F22" i="5"/>
  <c r="F23" i="5"/>
  <c r="F24" i="5"/>
  <c r="F25" i="5"/>
  <c r="F26" i="5"/>
  <c r="F27" i="5"/>
  <c r="F28" i="5"/>
  <c r="F29" i="5"/>
  <c r="F30" i="5"/>
  <c r="F19" i="5"/>
  <c r="I4" i="5"/>
  <c r="I5" i="5"/>
  <c r="I6" i="5"/>
  <c r="I7" i="5"/>
  <c r="I8" i="5"/>
  <c r="I9" i="5"/>
  <c r="I10" i="5"/>
  <c r="I11" i="5"/>
  <c r="I12" i="5"/>
  <c r="I13" i="5"/>
  <c r="I14" i="5"/>
  <c r="I15" i="5"/>
  <c r="H5" i="5"/>
  <c r="H6" i="5"/>
  <c r="H7" i="5"/>
  <c r="H8" i="5"/>
  <c r="H9" i="5"/>
  <c r="H10" i="5"/>
  <c r="H11" i="5"/>
  <c r="H12" i="5"/>
  <c r="H13" i="5"/>
  <c r="H14" i="5"/>
  <c r="H15" i="5"/>
  <c r="H4" i="5"/>
  <c r="G5" i="5"/>
  <c r="G6" i="5"/>
  <c r="G7" i="5"/>
  <c r="G8" i="5"/>
  <c r="G9" i="5"/>
  <c r="G10" i="5"/>
  <c r="G11" i="5"/>
  <c r="G12" i="5"/>
  <c r="G13" i="5"/>
  <c r="G14" i="5"/>
  <c r="G15" i="5"/>
  <c r="G4" i="5"/>
</calcChain>
</file>

<file path=xl/sharedStrings.xml><?xml version="1.0" encoding="utf-8"?>
<sst xmlns="http://schemas.openxmlformats.org/spreadsheetml/2006/main" count="12147" uniqueCount="532">
  <si>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</si>
  <si>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</si>
  <si>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</si>
  <si>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</si>
  <si>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</si>
  <si>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</si>
  <si>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</si>
  <si>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</si>
  <si>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</si>
  <si>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</si>
  <si>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</si>
  <si>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</si>
  <si>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</si>
  <si>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</si>
  <si>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</si>
  <si>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</si>
  <si>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</si>
  <si>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</si>
  <si>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</si>
  <si>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</si>
  <si>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</si>
  <si>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</si>
  <si>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</si>
  <si>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</si>
  <si>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</si>
  <si>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</si>
  <si>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</si>
  <si>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</si>
  <si>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</si>
  <si>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</si>
  <si>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</si>
  <si>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</si>
  <si>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</si>
  <si>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</si>
  <si>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</si>
  <si>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</si>
  <si>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</si>
  <si>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</si>
  <si>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</si>
  <si>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</si>
  <si>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</si>
  <si>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</si>
  <si>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</si>
  <si>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</si>
  <si>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</si>
  <si>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</si>
  <si>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</si>
  <si>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</si>
  <si>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</si>
  <si>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</si>
  <si>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</si>
  <si>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</si>
  <si>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</si>
  <si>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</si>
  <si>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</si>
  <si>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</si>
  <si>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</si>
  <si>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</si>
  <si>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</si>
  <si>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</si>
  <si>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</si>
  <si>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</si>
  <si>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</si>
  <si>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</si>
  <si>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</si>
  <si>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</si>
  <si>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</si>
  <si>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</si>
  <si>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</si>
  <si>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</si>
  <si>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</si>
  <si>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</si>
  <si>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</si>
  <si>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</si>
  <si>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</si>
  <si>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</si>
  <si>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</si>
  <si>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</si>
  <si>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</si>
  <si>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</si>
  <si>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</si>
  <si>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</si>
  <si>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</si>
  <si>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</si>
  <si>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</si>
  <si>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</si>
  <si>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</si>
  <si>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</si>
  <si>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</si>
  <si>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</si>
  <si>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</si>
  <si>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</si>
  <si>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</si>
  <si>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</si>
  <si>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</si>
  <si>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</si>
  <si>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</si>
  <si>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</si>
  <si>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</si>
  <si>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</si>
  <si>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</si>
  <si>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</si>
  <si>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</si>
  <si>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</si>
  <si>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</si>
  <si>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</si>
  <si>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</si>
  <si>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</si>
  <si>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</si>
  <si>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</si>
  <si>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</si>
  <si>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</si>
  <si>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</si>
  <si>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</si>
  <si>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</si>
  <si>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</si>
  <si>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</si>
  <si>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</si>
  <si>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</si>
  <si>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</si>
  <si>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</si>
  <si>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</si>
  <si>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</si>
  <si>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</si>
  <si>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</si>
  <si>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</si>
  <si>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</si>
  <si>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</si>
  <si>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</si>
  <si>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</si>
  <si>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</si>
  <si>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</si>
  <si>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</si>
  <si>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</si>
  <si>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</si>
  <si>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</si>
  <si>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</si>
  <si>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</si>
  <si>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</si>
  <si>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</si>
  <si>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</si>
  <si>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</si>
  <si>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</si>
  <si>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</si>
  <si>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</si>
  <si>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</si>
  <si>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</si>
  <si>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</si>
  <si>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</si>
  <si>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</si>
  <si>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</si>
  <si>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</si>
  <si>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</si>
  <si>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</si>
  <si>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</si>
  <si>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</si>
  <si>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</si>
  <si>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</si>
  <si>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</si>
  <si>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</si>
  <si>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</si>
  <si>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</si>
  <si>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</si>
  <si>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</si>
  <si>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</si>
  <si>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</si>
  <si>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</si>
  <si>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</si>
  <si>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</si>
  <si>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</si>
  <si>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</si>
  <si>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</si>
  <si>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</si>
  <si>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</si>
  <si>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</si>
  <si>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</si>
  <si>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</si>
  <si>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</si>
  <si>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</si>
  <si>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</si>
  <si>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</si>
  <si>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</si>
  <si>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</si>
  <si>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</si>
  <si>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</si>
  <si>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</si>
  <si>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</si>
  <si>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</si>
  <si>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</si>
  <si>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</si>
  <si>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</si>
  <si>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</si>
  <si>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</si>
  <si>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</si>
  <si>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</si>
  <si>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</si>
  <si>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</si>
  <si>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</si>
  <si>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</si>
  <si>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</si>
  <si>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</si>
  <si>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</si>
  <si>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</si>
  <si>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</si>
  <si>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</si>
  <si>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</si>
  <si>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</si>
  <si>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</si>
  <si>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</si>
  <si>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</si>
  <si>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</si>
  <si>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</si>
  <si>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</si>
  <si>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</si>
  <si>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</si>
  <si>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</si>
  <si>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</si>
  <si>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</si>
  <si>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</si>
  <si>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</si>
  <si>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</si>
  <si>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</si>
  <si>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</si>
  <si>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</si>
  <si>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</si>
  <si>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</si>
  <si>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</si>
  <si>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</si>
  <si>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</si>
  <si>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</si>
  <si>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</si>
  <si>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</si>
  <si>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</si>
  <si>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</si>
  <si>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</si>
  <si>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</si>
  <si>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</si>
  <si>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</si>
  <si>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</si>
  <si>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</si>
  <si>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</si>
  <si>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</si>
  <si>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</si>
  <si>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</si>
  <si>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</si>
  <si>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</si>
  <si>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</si>
  <si>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</si>
  <si>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</si>
  <si>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</si>
  <si>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</si>
  <si>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</si>
  <si>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</si>
  <si>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</si>
  <si>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</si>
  <si>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</si>
  <si>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</si>
  <si>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</si>
  <si>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</si>
  <si>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</si>
  <si>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</si>
  <si>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</si>
  <si>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</si>
  <si>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</si>
  <si>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</si>
  <si>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</si>
  <si>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</si>
  <si>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</si>
  <si>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</si>
  <si>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</si>
  <si>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</si>
  <si>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</si>
  <si>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</si>
  <si>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</si>
  <si>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</si>
  <si>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</si>
  <si>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</si>
  <si>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</si>
  <si>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</si>
  <si>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</si>
  <si>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</si>
  <si>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</si>
  <si>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</si>
  <si>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</si>
  <si>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</si>
  <si>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</si>
  <si>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</si>
  <si>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</si>
  <si>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</si>
  <si>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</si>
  <si>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</si>
  <si>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</si>
  <si>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</si>
  <si>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</si>
  <si>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</si>
  <si>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</si>
  <si>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</si>
  <si>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</si>
  <si>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</si>
  <si>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</si>
  <si>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</si>
  <si>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</si>
  <si>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</si>
  <si>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</si>
  <si>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</si>
  <si>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</si>
  <si>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</si>
  <si>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</si>
  <si>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</si>
  <si>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</si>
  <si>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</si>
  <si>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</si>
  <si>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</si>
  <si>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</si>
  <si>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</si>
  <si>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</si>
  <si>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</si>
  <si>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</si>
  <si>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</si>
  <si>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</si>
  <si>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</si>
  <si>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</si>
  <si>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</si>
  <si>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</si>
  <si>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</si>
  <si>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</si>
  <si>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</si>
  <si>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</si>
  <si>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</si>
  <si>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</si>
  <si>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</si>
  <si>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</si>
  <si>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</si>
  <si>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</si>
  <si>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</si>
  <si>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</si>
  <si>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</si>
  <si>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</si>
  <si>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</si>
  <si>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</si>
  <si>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</si>
  <si>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</si>
  <si>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</si>
  <si>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</si>
  <si>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</si>
  <si>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</si>
  <si>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</si>
  <si>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</si>
  <si>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</si>
  <si>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</si>
  <si>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</si>
  <si>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</si>
  <si>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</si>
  <si>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</si>
  <si>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</si>
  <si>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</si>
  <si>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</si>
  <si>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</si>
  <si>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</si>
  <si>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</si>
  <si>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</si>
  <si>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</si>
  <si>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</si>
  <si>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</si>
  <si>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</si>
  <si>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</si>
  <si>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</si>
  <si>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</si>
  <si>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</si>
  <si>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</si>
  <si>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</si>
  <si>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</si>
  <si>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</si>
  <si>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</si>
  <si>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</si>
  <si>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</si>
  <si>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</si>
  <si>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</si>
  <si>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</si>
  <si>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</si>
  <si>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</si>
  <si>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</si>
  <si>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</si>
  <si>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</si>
  <si>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</si>
  <si>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</si>
  <si>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</si>
  <si>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</si>
  <si>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</si>
  <si>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</si>
  <si>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</si>
  <si>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</si>
  <si>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</si>
  <si>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</si>
  <si>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</si>
  <si>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</si>
  <si>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</si>
  <si>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</si>
  <si>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</si>
  <si>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</si>
  <si>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</si>
  <si>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</si>
  <si>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</si>
  <si>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</si>
  <si>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</si>
  <si>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</si>
  <si>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</si>
  <si>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</si>
  <si>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</si>
  <si>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</si>
  <si>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</si>
  <si>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</si>
  <si>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</si>
  <si>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</si>
  <si>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</si>
  <si>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</si>
  <si>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</si>
  <si>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</si>
  <si>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</si>
  <si>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</si>
  <si>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</si>
  <si>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</si>
  <si>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</si>
  <si>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</si>
  <si>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</si>
  <si>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</si>
  <si>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</si>
  <si>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</si>
  <si>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</si>
  <si>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</si>
  <si>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</si>
  <si>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</si>
  <si>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</si>
  <si>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</si>
  <si>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</si>
  <si>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</si>
  <si>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</si>
  <si>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</si>
  <si>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</si>
  <si>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</si>
  <si>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</si>
  <si>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</si>
  <si>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</si>
  <si>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</si>
  <si>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</si>
  <si>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</si>
  <si>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</si>
  <si>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</si>
  <si>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</si>
  <si>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</si>
  <si>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</si>
  <si>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</si>
  <si>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</si>
  <si>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</si>
  <si>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</si>
  <si>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</si>
  <si>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</si>
  <si>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</si>
  <si>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</si>
  <si>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</si>
  <si>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</si>
  <si>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</si>
  <si>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</si>
  <si>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</si>
  <si>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</si>
  <si>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</si>
  <si>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</si>
  <si>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</si>
  <si>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</si>
  <si>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</si>
  <si>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</si>
  <si>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</si>
  <si>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</si>
  <si>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</si>
  <si>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</si>
  <si>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</si>
  <si>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</si>
  <si>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</si>
  <si>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</si>
  <si>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</si>
  <si>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</si>
  <si>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</si>
  <si>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</si>
  <si>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</si>
  <si>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</si>
  <si>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</si>
  <si>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</si>
  <si>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</si>
  <si>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</si>
  <si>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</si>
  <si>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</si>
  <si>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</si>
  <si>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</si>
  <si>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</si>
  <si>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</si>
  <si>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</si>
  <si>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</si>
  <si>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</si>
  <si>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</si>
  <si>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</si>
  <si>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</si>
  <si>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</si>
  <si>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</si>
  <si>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</si>
  <si>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</si>
  <si>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</si>
  <si>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</si>
  <si>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</si>
  <si>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</si>
  <si>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</si>
  <si>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</si>
  <si>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</si>
  <si>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</si>
  <si>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</si>
  <si>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</si>
  <si>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</si>
  <si>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</si>
  <si>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</si>
  <si>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</si>
  <si>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</si>
  <si>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</si>
  <si>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</si>
  <si>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</si>
  <si>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</si>
  <si>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</si>
  <si>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</si>
  <si>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(2017)</t>
  </si>
  <si>
    <t>All Stocks (2018)</t>
  </si>
  <si>
    <t>Initial</t>
  </si>
  <si>
    <t>First Year Return</t>
  </si>
  <si>
    <t>Second Year Return</t>
  </si>
  <si>
    <t>2 Year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</si>
</sst>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44" fontId="1" fillId="0" borderId="2" xfId="0" applyNumberFormat="1" applyFont="1" applyBorder="1"/>
    <xf numFmtId="44" fontId="0" fillId="2" borderId="0" xfId="0" applyNumberFormat="1" applyFill="1"/>
    <xf numFmtId="44" fontId="0" fillId="3" borderId="0" xfId="0" applyNumberForma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6350</xdr:rowOff>
        </xdr:from>
        <xdr:to>
          <xdr:col>5</xdr:col>
          <xdr:colOff>603250</xdr:colOff>
          <xdr:row>6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2</xdr:row>
          <xdr:rowOff>177800</xdr:rowOff>
        </xdr:from>
        <xdr:to>
          <xdr:col>5</xdr:col>
          <xdr:colOff>603250</xdr:colOff>
          <xdr:row>3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603250</xdr:colOff>
          <xdr:row>3</xdr:row>
          <xdr:rowOff>6350</xdr:rowOff>
        </xdr:from>
        <xdr:to>
          <xdr:col>9</xdr:col>
          <xdr:colOff>25400</xdr:colOff>
          <xdr:row>3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Original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Y4" sqref="Y4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7A848-FA4F-4803-A0B4-4FD1F3DA2372}">
  <sheetPr codeName="Sheet3"/>
  <dimension ref="A1:C4"/>
  <sheetViews>
    <sheetView workbookViewId="0">
      <selection activeCell="E10" sqref="E10"/>
    </sheetView>
  </sheetViews>
  <sheetFormatPr defaultRowHeight="14.5" x14ac:dyDescent="0.35"/>
  <cols>
    <col min="1" max="1" width="16.81640625" bestFit="1" customWidth="1"/>
    <col min="2" max="2" width="16.453125" bestFit="1" customWidth="1"/>
    <col min="3" max="3" width="6.453125" bestFit="1" customWidth="1"/>
  </cols>
  <sheetData>
    <row r="1" spans="1:3" x14ac:dyDescent="0.35">
      <c r="A1" t="s">
        <v>525</v>
      </c>
    </row>
    <row r="3" spans="1:3" x14ac:dyDescent="0.35">
      <c r="A3" t="s">
        <v>522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1E856-8917-4811-861F-0513D646D50A}">
  <sheetPr codeName="Sheet4"/>
  <dimension ref="A1:C15"/>
  <sheetViews>
    <sheetView workbookViewId="0">
      <selection activeCell="G22" sqref="G22"/>
    </sheetView>
  </sheetViews>
  <sheetFormatPr defaultRowHeight="14.5" x14ac:dyDescent="0.35"/>
  <cols>
    <col min="1" max="1" width="14.36328125" bestFit="1" customWidth="1"/>
    <col min="2" max="2" width="16.6328125" bestFit="1" customWidth="1"/>
  </cols>
  <sheetData>
    <row r="1" spans="1:3" x14ac:dyDescent="0.35">
      <c r="A1" t="s">
        <v>527</v>
      </c>
    </row>
    <row r="3" spans="1:3" x14ac:dyDescent="0.35">
      <c r="A3" s="2" t="s">
        <v>0</v>
      </c>
      <c r="B3" s="2" t="s">
        <v>523</v>
      </c>
      <c r="C3" s="2" t="s">
        <v>524</v>
      </c>
    </row>
    <row r="4" spans="1:3" x14ac:dyDescent="0.35">
      <c r="A4" t="s">
        <v>8</v>
      </c>
      <c r="B4" s="3">
        <v>83079900</v>
      </c>
      <c r="C4" s="4">
        <v>-7.2847634553909302E-2</v>
      </c>
    </row>
    <row r="5" spans="1:3" x14ac:dyDescent="0.35">
      <c r="A5" t="s">
        <v>9</v>
      </c>
      <c r="B5" s="3">
        <v>200879900</v>
      </c>
      <c r="C5" s="4">
        <v>-0.16336052119731903</v>
      </c>
    </row>
    <row r="6" spans="1:3" x14ac:dyDescent="0.35">
      <c r="A6" t="s">
        <v>10</v>
      </c>
      <c r="B6" s="3">
        <v>107873900</v>
      </c>
      <c r="C6" s="4">
        <v>-0.62601888179779053</v>
      </c>
    </row>
    <row r="7" spans="1:3" x14ac:dyDescent="0.35">
      <c r="A7" t="s">
        <v>11</v>
      </c>
      <c r="B7" s="3">
        <v>607473500</v>
      </c>
      <c r="C7" s="5">
        <v>0.81923085451126099</v>
      </c>
    </row>
    <row r="8" spans="1:3" x14ac:dyDescent="0.35">
      <c r="A8" t="s">
        <v>12</v>
      </c>
      <c r="B8" s="3">
        <v>478113900</v>
      </c>
      <c r="C8" s="4">
        <v>-0.39713191986083984</v>
      </c>
    </row>
    <row r="9" spans="1:3" x14ac:dyDescent="0.35">
      <c r="A9" t="s">
        <v>13</v>
      </c>
      <c r="B9" s="3">
        <v>104340600</v>
      </c>
      <c r="C9" s="4">
        <v>-0.20658062398433685</v>
      </c>
    </row>
    <row r="10" spans="1:3" x14ac:dyDescent="0.35">
      <c r="A10" t="s">
        <v>14</v>
      </c>
      <c r="B10" s="3">
        <v>158309000</v>
      </c>
      <c r="C10" s="4">
        <v>-0.6053471565246582</v>
      </c>
    </row>
    <row r="11" spans="1:3" x14ac:dyDescent="0.35">
      <c r="A11" t="s">
        <v>15</v>
      </c>
      <c r="B11" s="3">
        <v>502757100</v>
      </c>
      <c r="C11" s="5">
        <v>0.83952707052230835</v>
      </c>
    </row>
    <row r="12" spans="1:3" x14ac:dyDescent="0.35">
      <c r="A12" t="s">
        <v>16</v>
      </c>
      <c r="B12" s="3">
        <v>237212300</v>
      </c>
      <c r="C12" s="4">
        <v>-7.7529586851596832E-2</v>
      </c>
    </row>
    <row r="13" spans="1:3" x14ac:dyDescent="0.35">
      <c r="A13" t="s">
        <v>17</v>
      </c>
      <c r="B13" s="3">
        <v>538024300</v>
      </c>
      <c r="C13" s="4">
        <v>-0.44593092799186707</v>
      </c>
    </row>
    <row r="14" spans="1:3" x14ac:dyDescent="0.35">
      <c r="A14" t="s">
        <v>18</v>
      </c>
      <c r="B14" s="3">
        <v>151434700</v>
      </c>
      <c r="C14" s="4">
        <v>-4.9957673996686935E-2</v>
      </c>
    </row>
    <row r="15" spans="1:3" x14ac:dyDescent="0.3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Worksheet">
                <anchor moveWithCells="1">
                  <from>
                    <xdr:col>4</xdr:col>
                    <xdr:colOff>0</xdr:colOff>
                    <xdr:row>5</xdr:row>
                    <xdr:rowOff>6350</xdr:rowOff>
                  </from>
                  <to>
                    <xdr:col>5</xdr:col>
                    <xdr:colOff>603250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AllStocksAnalysisRefactored">
                <anchor moveWithCells="1">
                  <from>
                    <xdr:col>4</xdr:col>
                    <xdr:colOff>6350</xdr:colOff>
                    <xdr:row>2</xdr:row>
                    <xdr:rowOff>177800</xdr:rowOff>
                  </from>
                  <to>
                    <xdr:col>5</xdr:col>
                    <xdr:colOff>603250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AllStocksAnalysis">
                <anchor moveWithCells="1">
                  <from>
                    <xdr:col>6</xdr:col>
                    <xdr:colOff>603250</xdr:colOff>
                    <xdr:row>3</xdr:row>
                    <xdr:rowOff>6350</xdr:rowOff>
                  </from>
                  <to>
                    <xdr:col>9</xdr:col>
                    <xdr:colOff>25400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995E7-1E7A-4A82-8288-C9B9381B2CD6}">
  <dimension ref="A1:I32"/>
  <sheetViews>
    <sheetView tabSelected="1" workbookViewId="0">
      <selection activeCell="E18" sqref="E18:F30"/>
    </sheetView>
  </sheetViews>
  <sheetFormatPr defaultRowHeight="14.5" x14ac:dyDescent="0.35"/>
  <cols>
    <col min="2" max="2" width="16.6328125" bestFit="1" customWidth="1"/>
    <col min="6" max="6" width="11.08984375" bestFit="1" customWidth="1"/>
    <col min="7" max="7" width="16.1796875" bestFit="1" customWidth="1"/>
    <col min="8" max="8" width="18.6328125" bestFit="1" customWidth="1"/>
    <col min="9" max="9" width="12.1796875" bestFit="1" customWidth="1"/>
  </cols>
  <sheetData>
    <row r="1" spans="1:9" x14ac:dyDescent="0.35">
      <c r="A1" t="s">
        <v>526</v>
      </c>
    </row>
    <row r="3" spans="1:9" x14ac:dyDescent="0.35">
      <c r="A3" s="2" t="s">
        <v>0</v>
      </c>
      <c r="B3" s="2" t="s">
        <v>523</v>
      </c>
      <c r="C3" s="2" t="s">
        <v>524</v>
      </c>
      <c r="E3" s="2" t="s">
        <v>0</v>
      </c>
      <c r="F3" s="6" t="s">
        <v>528</v>
      </c>
      <c r="G3" s="6" t="s">
        <v>529</v>
      </c>
      <c r="H3" s="6" t="s">
        <v>530</v>
      </c>
      <c r="I3" s="2" t="s">
        <v>531</v>
      </c>
    </row>
    <row r="4" spans="1:9" x14ac:dyDescent="0.35">
      <c r="A4" t="s">
        <v>8</v>
      </c>
      <c r="B4" s="3">
        <v>136070900</v>
      </c>
      <c r="C4" s="5">
        <v>8.9368253946304321E-2</v>
      </c>
      <c r="E4" t="s">
        <v>8</v>
      </c>
      <c r="F4" s="7">
        <v>10000</v>
      </c>
      <c r="G4" s="7">
        <f>F4 + (F4 *C4)</f>
        <v>10893.682539463043</v>
      </c>
      <c r="H4" s="7">
        <f>G4+(G4*C21)</f>
        <v>10100.103534881937</v>
      </c>
      <c r="I4" s="5">
        <f>(H4/F4) - 1</f>
        <v>1.001035348819368E-2</v>
      </c>
    </row>
    <row r="5" spans="1:9" x14ac:dyDescent="0.35">
      <c r="A5" t="s">
        <v>9</v>
      </c>
      <c r="B5" s="3">
        <v>310592800</v>
      </c>
      <c r="C5" s="5">
        <v>0.33070248365402222</v>
      </c>
      <c r="E5" t="s">
        <v>9</v>
      </c>
      <c r="F5" s="7">
        <v>10000</v>
      </c>
      <c r="G5" s="7">
        <f t="shared" ref="G5:G15" si="0">F5 + (F5 *C5)</f>
        <v>13307.024836540222</v>
      </c>
      <c r="H5" s="7">
        <f t="shared" ref="H5:H15" si="1">G5+(G5*C22)</f>
        <v>11133.182323657342</v>
      </c>
      <c r="I5" s="5">
        <f t="shared" ref="I5:I15" si="2">(H5/F5) - 1</f>
        <v>0.11331823236573424</v>
      </c>
    </row>
    <row r="6" spans="1:9" x14ac:dyDescent="0.35">
      <c r="A6" t="s">
        <v>10</v>
      </c>
      <c r="B6" s="3">
        <v>35796200</v>
      </c>
      <c r="C6" s="5">
        <v>1.9944583177566528</v>
      </c>
      <c r="E6" t="s">
        <v>10</v>
      </c>
      <c r="F6" s="7">
        <v>10000</v>
      </c>
      <c r="G6" s="7">
        <f t="shared" si="0"/>
        <v>29944.583177566528</v>
      </c>
      <c r="H6" s="7">
        <f t="shared" si="1"/>
        <v>11198.7087008454</v>
      </c>
      <c r="I6" s="5">
        <f t="shared" si="2"/>
        <v>0.11987087008453989</v>
      </c>
    </row>
    <row r="7" spans="1:9" x14ac:dyDescent="0.35">
      <c r="A7" t="s">
        <v>11</v>
      </c>
      <c r="B7" s="3">
        <v>221772100</v>
      </c>
      <c r="C7" s="5">
        <v>1.2952382564544678</v>
      </c>
      <c r="E7" t="s">
        <v>11</v>
      </c>
      <c r="F7" s="7">
        <v>10000</v>
      </c>
      <c r="G7" s="7">
        <f t="shared" si="0"/>
        <v>22952.382564544678</v>
      </c>
      <c r="H7" s="7">
        <f t="shared" si="1"/>
        <v>41755.682545965981</v>
      </c>
      <c r="I7" s="5">
        <f t="shared" si="2"/>
        <v>3.1755682545965982</v>
      </c>
    </row>
    <row r="8" spans="1:9" x14ac:dyDescent="0.35">
      <c r="A8" t="s">
        <v>12</v>
      </c>
      <c r="B8" s="3">
        <v>684181400</v>
      </c>
      <c r="C8" s="5">
        <v>1.0131185054779053</v>
      </c>
      <c r="E8" t="s">
        <v>12</v>
      </c>
      <c r="F8" s="7">
        <v>10000</v>
      </c>
      <c r="G8" s="7">
        <f t="shared" si="0"/>
        <v>20131.185054779053</v>
      </c>
      <c r="H8" s="7">
        <f t="shared" si="1"/>
        <v>12136.448884900801</v>
      </c>
      <c r="I8" s="5">
        <f t="shared" si="2"/>
        <v>0.21364488849008012</v>
      </c>
    </row>
    <row r="9" spans="1:9" x14ac:dyDescent="0.35">
      <c r="A9" t="s">
        <v>13</v>
      </c>
      <c r="B9" s="3">
        <v>80949300</v>
      </c>
      <c r="C9" s="5">
        <v>0.2583681046962738</v>
      </c>
      <c r="E9" t="s">
        <v>13</v>
      </c>
      <c r="F9" s="7">
        <v>10000</v>
      </c>
      <c r="G9" s="7">
        <f t="shared" si="0"/>
        <v>12583.681046962738</v>
      </c>
      <c r="H9" s="8">
        <f t="shared" si="1"/>
        <v>9984.1363642613032</v>
      </c>
      <c r="I9" s="4">
        <f t="shared" si="2"/>
        <v>-1.5863635738696535E-3</v>
      </c>
    </row>
    <row r="10" spans="1:9" x14ac:dyDescent="0.35">
      <c r="A10" t="s">
        <v>14</v>
      </c>
      <c r="B10" s="3">
        <v>191632200</v>
      </c>
      <c r="C10" s="5">
        <v>0.53870755434036255</v>
      </c>
      <c r="E10" t="s">
        <v>14</v>
      </c>
      <c r="F10" s="7">
        <v>10000</v>
      </c>
      <c r="G10" s="7">
        <f t="shared" si="0"/>
        <v>15387.075543403625</v>
      </c>
      <c r="H10" s="8">
        <f t="shared" si="1"/>
        <v>6072.5531159741313</v>
      </c>
      <c r="I10" s="4">
        <f t="shared" si="2"/>
        <v>-0.39274468840258692</v>
      </c>
    </row>
    <row r="11" spans="1:9" x14ac:dyDescent="0.35">
      <c r="A11" t="s">
        <v>15</v>
      </c>
      <c r="B11" s="3">
        <v>267681300</v>
      </c>
      <c r="C11" s="5">
        <v>5.5456161499023438E-2</v>
      </c>
      <c r="E11" t="s">
        <v>15</v>
      </c>
      <c r="F11" s="7">
        <v>10000</v>
      </c>
      <c r="G11" s="7">
        <f t="shared" si="0"/>
        <v>10554.561614990234</v>
      </c>
      <c r="H11" s="7">
        <f t="shared" si="1"/>
        <v>19415.401808270188</v>
      </c>
      <c r="I11" s="5">
        <f t="shared" si="2"/>
        <v>0.94154018082701874</v>
      </c>
    </row>
    <row r="12" spans="1:9" x14ac:dyDescent="0.35">
      <c r="A12" t="s">
        <v>16</v>
      </c>
      <c r="B12" s="3">
        <v>206885200</v>
      </c>
      <c r="C12" s="5">
        <v>1.8446969985961914</v>
      </c>
      <c r="E12" t="s">
        <v>16</v>
      </c>
      <c r="F12" s="7">
        <v>10000</v>
      </c>
      <c r="G12" s="7">
        <f t="shared" si="0"/>
        <v>28446.969985961914</v>
      </c>
      <c r="H12" s="7">
        <f t="shared" si="1"/>
        <v>26241.488155770512</v>
      </c>
      <c r="I12" s="5">
        <f t="shared" si="2"/>
        <v>1.6241488155770512</v>
      </c>
    </row>
    <row r="13" spans="1:9" x14ac:dyDescent="0.35">
      <c r="A13" t="s">
        <v>17</v>
      </c>
      <c r="B13" s="3">
        <v>782187000</v>
      </c>
      <c r="C13" s="5">
        <v>0.23065699636936188</v>
      </c>
      <c r="E13" t="s">
        <v>17</v>
      </c>
      <c r="F13" s="7">
        <v>10000</v>
      </c>
      <c r="G13" s="7">
        <f t="shared" si="0"/>
        <v>12306.569963693619</v>
      </c>
      <c r="H13" s="8">
        <f t="shared" si="1"/>
        <v>6818.6897993868852</v>
      </c>
      <c r="I13" s="4">
        <f t="shared" si="2"/>
        <v>-0.31813102006131144</v>
      </c>
    </row>
    <row r="14" spans="1:9" x14ac:dyDescent="0.35">
      <c r="A14" t="s">
        <v>18</v>
      </c>
      <c r="B14" s="3">
        <v>139402800</v>
      </c>
      <c r="C14" s="4">
        <v>-7.2148971259593964E-2</v>
      </c>
      <c r="E14" t="s">
        <v>18</v>
      </c>
      <c r="F14" s="7">
        <v>10000</v>
      </c>
      <c r="G14" s="8">
        <f t="shared" si="0"/>
        <v>9278.5102874040604</v>
      </c>
      <c r="H14" s="8">
        <f t="shared" si="1"/>
        <v>8814.9774952910229</v>
      </c>
      <c r="I14" s="4">
        <f t="shared" si="2"/>
        <v>-0.11850225047089769</v>
      </c>
    </row>
    <row r="15" spans="1:9" x14ac:dyDescent="0.35">
      <c r="A15" t="s">
        <v>19</v>
      </c>
      <c r="B15" s="3">
        <v>109487900</v>
      </c>
      <c r="C15" s="5">
        <v>0.50000005960464478</v>
      </c>
      <c r="E15" t="s">
        <v>19</v>
      </c>
      <c r="F15" s="7">
        <v>10000</v>
      </c>
      <c r="G15" s="7">
        <f t="shared" si="0"/>
        <v>15000.000596046448</v>
      </c>
      <c r="H15" s="7">
        <f t="shared" si="1"/>
        <v>14468.354617540203</v>
      </c>
      <c r="I15" s="5">
        <f t="shared" si="2"/>
        <v>0.44683546175402022</v>
      </c>
    </row>
    <row r="18" spans="1:9" x14ac:dyDescent="0.35">
      <c r="A18" t="s">
        <v>527</v>
      </c>
      <c r="E18" s="2" t="s">
        <v>0</v>
      </c>
      <c r="F18" s="2" t="s">
        <v>531</v>
      </c>
    </row>
    <row r="19" spans="1:9" x14ac:dyDescent="0.35">
      <c r="E19" t="s">
        <v>8</v>
      </c>
      <c r="F19" s="5">
        <f>(H4 / F4) - 1</f>
        <v>1.001035348819368E-2</v>
      </c>
    </row>
    <row r="20" spans="1:9" x14ac:dyDescent="0.35">
      <c r="A20" s="2" t="s">
        <v>0</v>
      </c>
      <c r="B20" s="2" t="s">
        <v>523</v>
      </c>
      <c r="C20" s="2" t="s">
        <v>524</v>
      </c>
      <c r="E20" t="s">
        <v>9</v>
      </c>
      <c r="F20" s="5">
        <f t="shared" ref="F20:F30" si="3">(H5 / F5) - 1</f>
        <v>0.11331823236573424</v>
      </c>
    </row>
    <row r="21" spans="1:9" x14ac:dyDescent="0.35">
      <c r="A21" t="s">
        <v>8</v>
      </c>
      <c r="B21" s="3">
        <v>83079900</v>
      </c>
      <c r="C21" s="4">
        <v>-7.2847634553909302E-2</v>
      </c>
      <c r="E21" t="s">
        <v>10</v>
      </c>
      <c r="F21" s="5">
        <f t="shared" si="3"/>
        <v>0.11987087008453989</v>
      </c>
      <c r="I21" s="9"/>
    </row>
    <row r="22" spans="1:9" x14ac:dyDescent="0.35">
      <c r="A22" t="s">
        <v>9</v>
      </c>
      <c r="B22" s="3">
        <v>200879900</v>
      </c>
      <c r="C22" s="4">
        <v>-0.16336052119731903</v>
      </c>
      <c r="E22" t="s">
        <v>11</v>
      </c>
      <c r="F22" s="5">
        <f t="shared" si="3"/>
        <v>3.1755682545965982</v>
      </c>
    </row>
    <row r="23" spans="1:9" x14ac:dyDescent="0.35">
      <c r="A23" t="s">
        <v>10</v>
      </c>
      <c r="B23" s="3">
        <v>107873900</v>
      </c>
      <c r="C23" s="4">
        <v>-0.62601888179779053</v>
      </c>
      <c r="E23" t="s">
        <v>12</v>
      </c>
      <c r="F23" s="5">
        <f t="shared" si="3"/>
        <v>0.21364488849008012</v>
      </c>
    </row>
    <row r="24" spans="1:9" x14ac:dyDescent="0.35">
      <c r="A24" t="s">
        <v>11</v>
      </c>
      <c r="B24" s="3">
        <v>607473500</v>
      </c>
      <c r="C24" s="5">
        <v>0.81923085451126099</v>
      </c>
      <c r="E24" t="s">
        <v>13</v>
      </c>
      <c r="F24" s="4">
        <f t="shared" si="3"/>
        <v>-1.5863635738696535E-3</v>
      </c>
    </row>
    <row r="25" spans="1:9" x14ac:dyDescent="0.35">
      <c r="A25" t="s">
        <v>12</v>
      </c>
      <c r="B25" s="3">
        <v>478113900</v>
      </c>
      <c r="C25" s="4">
        <v>-0.39713191986083984</v>
      </c>
      <c r="E25" t="s">
        <v>14</v>
      </c>
      <c r="F25" s="4">
        <f t="shared" si="3"/>
        <v>-0.39274468840258692</v>
      </c>
    </row>
    <row r="26" spans="1:9" x14ac:dyDescent="0.35">
      <c r="A26" t="s">
        <v>13</v>
      </c>
      <c r="B26" s="3">
        <v>104340600</v>
      </c>
      <c r="C26" s="4">
        <v>-0.20658062398433685</v>
      </c>
      <c r="E26" t="s">
        <v>15</v>
      </c>
      <c r="F26" s="5">
        <f t="shared" si="3"/>
        <v>0.94154018082701874</v>
      </c>
    </row>
    <row r="27" spans="1:9" x14ac:dyDescent="0.35">
      <c r="A27" t="s">
        <v>14</v>
      </c>
      <c r="B27" s="3">
        <v>158309000</v>
      </c>
      <c r="C27" s="4">
        <v>-0.6053471565246582</v>
      </c>
      <c r="E27" t="s">
        <v>16</v>
      </c>
      <c r="F27" s="5">
        <f t="shared" si="3"/>
        <v>1.6241488155770512</v>
      </c>
    </row>
    <row r="28" spans="1:9" x14ac:dyDescent="0.35">
      <c r="A28" t="s">
        <v>15</v>
      </c>
      <c r="B28" s="3">
        <v>502757100</v>
      </c>
      <c r="C28" s="5">
        <v>0.83952707052230835</v>
      </c>
      <c r="E28" t="s">
        <v>17</v>
      </c>
      <c r="F28" s="4">
        <f t="shared" si="3"/>
        <v>-0.31813102006131144</v>
      </c>
    </row>
    <row r="29" spans="1:9" x14ac:dyDescent="0.35">
      <c r="A29" t="s">
        <v>16</v>
      </c>
      <c r="B29" s="3">
        <v>237212300</v>
      </c>
      <c r="C29" s="4">
        <v>-7.7529586851596832E-2</v>
      </c>
      <c r="E29" t="s">
        <v>18</v>
      </c>
      <c r="F29" s="4">
        <f t="shared" si="3"/>
        <v>-0.11850225047089769</v>
      </c>
    </row>
    <row r="30" spans="1:9" x14ac:dyDescent="0.35">
      <c r="A30" t="s">
        <v>17</v>
      </c>
      <c r="B30" s="3">
        <v>538024300</v>
      </c>
      <c r="C30" s="4">
        <v>-0.44593092799186707</v>
      </c>
      <c r="E30" t="s">
        <v>19</v>
      </c>
      <c r="F30" s="5">
        <f t="shared" si="3"/>
        <v>0.44683546175402022</v>
      </c>
    </row>
    <row r="31" spans="1:9" x14ac:dyDescent="0.35">
      <c r="A31" t="s">
        <v>18</v>
      </c>
      <c r="B31" s="3">
        <v>151434700</v>
      </c>
      <c r="C31" s="4">
        <v>-4.9957673996686935E-2</v>
      </c>
    </row>
    <row r="32" spans="1:9" x14ac:dyDescent="0.35">
      <c r="A32" t="s">
        <v>19</v>
      </c>
      <c r="B32" s="3">
        <v>136539100</v>
      </c>
      <c r="C32" s="4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2 Year 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Maks Kozak</cp:lastModifiedBy>
  <dcterms:created xsi:type="dcterms:W3CDTF">2019-05-02T20:23:55Z</dcterms:created>
  <dcterms:modified xsi:type="dcterms:W3CDTF">2022-01-10T00:14:18Z</dcterms:modified>
</cp:coreProperties>
</file>